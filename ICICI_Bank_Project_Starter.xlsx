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 &quot;percentage points&quot;"/>
    <numFmt numFmtId="166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name val="Calibri"/>
      <family val="2"/>
      <color theme="10"/>
      <sz val="12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cici.bank.in/about-us/news-room/2026/performance-review-quarter-ended-june-30-2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ICICI Bank Financial Performance Analysis — Source Data</t>
        </is>
      </c>
      <c r="B1" s="2" t="n"/>
      <c r="C1" s="2" t="n"/>
      <c r="D1" s="2" t="n"/>
      <c r="E1" s="2" t="n"/>
      <c r="F1" s="2" t="n"/>
    </row>
    <row r="2">
      <c r="A2" s="3" t="inlineStr">
        <is>
          <t>Source: ICICI Bank official performance review for quarter ended June 30, 2026 (Q1 FY2027)</t>
        </is>
      </c>
      <c r="B2" s="2" t="n"/>
      <c r="C2" s="2" t="n"/>
      <c r="D2" s="2" t="n"/>
      <c r="E2" s="2" t="n"/>
      <c r="F2" s="2" t="n"/>
    </row>
    <row r="3" ht="32" customHeight="1">
      <c r="A3" s="2" t="inlineStr">
        <is>
          <t>Amounts are ₹ crore unless the metric is a percentage. Income figures are for a quarter; deposits/advances are period-end balances.</t>
        </is>
      </c>
      <c r="B3" s="2" t="n"/>
      <c r="C3" s="2" t="n"/>
      <c r="D3" s="2" t="n"/>
      <c r="E3" s="2" t="n"/>
      <c r="F3" s="2" t="n"/>
    </row>
    <row r="4">
      <c r="A4" s="4" t="inlineStr">
        <is>
          <t>Metric</t>
        </is>
      </c>
      <c r="B4" s="4" t="inlineStr">
        <is>
          <t>Unit</t>
        </is>
      </c>
      <c r="C4" s="4" t="inlineStr">
        <is>
          <t>Q1 FY2026</t>
        </is>
      </c>
      <c r="D4" s="4" t="inlineStr">
        <is>
          <t>Q4 FY2026</t>
        </is>
      </c>
      <c r="E4" s="4" t="inlineStr">
        <is>
          <t>Q1 FY2027</t>
        </is>
      </c>
      <c r="F4" s="4" t="inlineStr">
        <is>
          <t>Metric Type</t>
        </is>
      </c>
    </row>
    <row r="5">
      <c r="A5" s="5" t="inlineStr">
        <is>
          <t>Net interest income (NII)</t>
        </is>
      </c>
      <c r="B5" s="5" t="inlineStr">
        <is>
          <t>₹ crore</t>
        </is>
      </c>
      <c r="C5" s="6" t="n">
        <v>21635</v>
      </c>
      <c r="D5" s="6" t="n">
        <v>22979</v>
      </c>
      <c r="E5" s="6" t="n">
        <v>24384</v>
      </c>
      <c r="F5" s="5" t="inlineStr">
        <is>
          <t>Quarterly income</t>
        </is>
      </c>
    </row>
    <row r="6">
      <c r="A6" s="5" t="inlineStr">
        <is>
          <t>Profit after tax (PAT)</t>
        </is>
      </c>
      <c r="B6" s="5" t="inlineStr">
        <is>
          <t>₹ crore</t>
        </is>
      </c>
      <c r="C6" s="6" t="n">
        <v>12768</v>
      </c>
      <c r="D6" s="6" t="n">
        <v>13702</v>
      </c>
      <c r="E6" s="6" t="n">
        <v>14805</v>
      </c>
      <c r="F6" s="5" t="inlineStr">
        <is>
          <t>Quarterly income</t>
        </is>
      </c>
    </row>
    <row r="7">
      <c r="A7" s="5" t="inlineStr">
        <is>
          <t>Operating expenses</t>
        </is>
      </c>
      <c r="B7" s="5" t="inlineStr">
        <is>
          <t>₹ crore</t>
        </is>
      </c>
      <c r="C7" s="6" t="n">
        <v>11394</v>
      </c>
      <c r="D7" s="6" t="n">
        <v>12089</v>
      </c>
      <c r="E7" s="6" t="n">
        <v>12574</v>
      </c>
      <c r="F7" s="5" t="inlineStr">
        <is>
          <t>Quarterly income</t>
        </is>
      </c>
    </row>
    <row r="8">
      <c r="A8" s="5" t="inlineStr">
        <is>
          <t>Core operating profit</t>
        </is>
      </c>
      <c r="B8" s="5" t="inlineStr">
        <is>
          <t>₹ crore</t>
        </is>
      </c>
      <c r="C8" s="6" t="n">
        <v>17505</v>
      </c>
      <c r="D8" s="6" t="n">
        <v>18305</v>
      </c>
      <c r="E8" s="6" t="n">
        <v>20235</v>
      </c>
      <c r="F8" s="5" t="inlineStr">
        <is>
          <t>Quarterly income</t>
        </is>
      </c>
    </row>
    <row r="9">
      <c r="A9" s="5" t="inlineStr">
        <is>
          <t>Net interest margin (NIM)</t>
        </is>
      </c>
      <c r="B9" s="5" t="inlineStr">
        <is>
          <t>%</t>
        </is>
      </c>
      <c r="C9" s="7" t="n">
        <v>4.34</v>
      </c>
      <c r="D9" s="7" t="n">
        <v>4.32</v>
      </c>
      <c r="E9" s="7" t="n">
        <v>4.36</v>
      </c>
      <c r="F9" s="5" t="inlineStr">
        <is>
          <t>Ratio</t>
        </is>
      </c>
    </row>
    <row r="10">
      <c r="A10" s="5" t="inlineStr">
        <is>
          <t>Deposits</t>
        </is>
      </c>
      <c r="B10" s="5" t="inlineStr">
        <is>
          <t>₹ crore</t>
        </is>
      </c>
      <c r="C10" s="6" t="n">
        <v>1608517</v>
      </c>
      <c r="D10" s="6" t="n">
        <v>1794625</v>
      </c>
      <c r="E10" s="6" t="n">
        <v>1833586</v>
      </c>
      <c r="F10" s="5" t="inlineStr">
        <is>
          <t>Period-end balance</t>
        </is>
      </c>
    </row>
    <row r="11">
      <c r="A11" s="5" t="inlineStr">
        <is>
          <t>Advances / loan portfolio</t>
        </is>
      </c>
      <c r="B11" s="5" t="inlineStr">
        <is>
          <t>₹ crore</t>
        </is>
      </c>
      <c r="C11" s="6" t="n">
        <v>1364157</v>
      </c>
      <c r="D11" s="6" t="n">
        <v>1553893</v>
      </c>
      <c r="E11" s="6" t="n">
        <v>1631260</v>
      </c>
      <c r="F11" s="5" t="inlineStr">
        <is>
          <t>Period-end balance</t>
        </is>
      </c>
    </row>
    <row r="12">
      <c r="A12" s="5" t="inlineStr">
        <is>
          <t>Gross NPA ratio</t>
        </is>
      </c>
      <c r="B12" s="5" t="inlineStr">
        <is>
          <t>%</t>
        </is>
      </c>
      <c r="C12" s="7" t="n">
        <v>1.67</v>
      </c>
      <c r="D12" s="7" t="n">
        <v>1.4</v>
      </c>
      <c r="E12" s="7" t="n">
        <v>1.38</v>
      </c>
      <c r="F12" s="5" t="inlineStr">
        <is>
          <t>Period-end ratio</t>
        </is>
      </c>
    </row>
    <row r="13">
      <c r="A13" s="5" t="inlineStr">
        <is>
          <t>Net NPA ratio</t>
        </is>
      </c>
      <c r="B13" s="5" t="inlineStr">
        <is>
          <t>%</t>
        </is>
      </c>
      <c r="C13" s="7" t="n">
        <v>0.41</v>
      </c>
      <c r="D13" s="7" t="n">
        <v>0.33</v>
      </c>
      <c r="E13" s="7" t="n">
        <v>0.35</v>
      </c>
      <c r="F13" s="5" t="inlineStr">
        <is>
          <t>Period-end ratio</t>
        </is>
      </c>
    </row>
    <row r="14">
      <c r="A14" s="5" t="inlineStr">
        <is>
          <t>Total capital adequacy ratio</t>
        </is>
      </c>
      <c r="B14" s="5" t="inlineStr">
        <is>
          <t>%</t>
        </is>
      </c>
      <c r="C14" s="7" t="n"/>
      <c r="D14" s="7" t="n"/>
      <c r="E14" s="7" t="n">
        <v>16.84</v>
      </c>
      <c r="F14" s="5" t="inlineStr">
        <is>
          <t>Period-end ratio</t>
        </is>
      </c>
    </row>
    <row r="15">
      <c r="A15" s="5" t="inlineStr">
        <is>
          <t>Fee income</t>
        </is>
      </c>
      <c r="B15" s="5" t="inlineStr">
        <is>
          <t>₹ crore</t>
        </is>
      </c>
      <c r="C15" s="6" t="n">
        <v>5900</v>
      </c>
      <c r="D15" s="6" t="n">
        <v>6779</v>
      </c>
      <c r="E15" s="6" t="n">
        <v>7286</v>
      </c>
      <c r="F15" s="5" t="inlineStr">
        <is>
          <t>Quarterly income</t>
        </is>
      </c>
    </row>
    <row r="16">
      <c r="A16" s="5" t="inlineStr">
        <is>
          <t>Provisions (excluding tax)</t>
        </is>
      </c>
      <c r="B16" s="5" t="inlineStr">
        <is>
          <t>₹ crore</t>
        </is>
      </c>
      <c r="C16" s="6" t="n">
        <v>1815</v>
      </c>
      <c r="D16" s="6" t="n">
        <v>96</v>
      </c>
      <c r="E16" s="6" t="n">
        <v>1260</v>
      </c>
      <c r="F16" s="5" t="inlineStr">
        <is>
          <t>Quarterly expense</t>
        </is>
      </c>
    </row>
  </sheetData>
  <mergeCells count="3">
    <mergeCell ref="A3:F3"/>
    <mergeCell ref="A2:F2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  <col width="19" customWidth="1" min="4" max="4"/>
    <col width="30" customWidth="1" min="5" max="5"/>
  </cols>
  <sheetData>
    <row r="1">
      <c r="A1" s="1" t="inlineStr">
        <is>
          <t>Analysis — Calculate Growth and Changes</t>
        </is>
      </c>
      <c r="B1" s="2" t="n"/>
      <c r="C1" s="2" t="n"/>
      <c r="D1" s="2" t="n"/>
      <c r="E1" s="2" t="n"/>
    </row>
    <row r="2" ht="30" customHeight="1">
      <c r="A2" s="2" t="inlineStr">
        <is>
          <t>Growth = (current period / prior period) - 1. Ratio change = current ratio minus prior ratio.</t>
        </is>
      </c>
      <c r="B2" s="2" t="n"/>
      <c r="C2" s="2" t="n"/>
      <c r="D2" s="2" t="n"/>
      <c r="E2" s="2" t="n"/>
    </row>
    <row r="3">
      <c r="A3" s="8" t="inlineStr">
        <is>
          <t>Metric</t>
        </is>
      </c>
      <c r="B3" s="8" t="inlineStr">
        <is>
          <t>Q1 FY2026</t>
        </is>
      </c>
      <c r="C3" s="8" t="inlineStr">
        <is>
          <t>Q4 FY2026</t>
        </is>
      </c>
      <c r="D3" s="8" t="inlineStr">
        <is>
          <t>Q1 FY2027</t>
        </is>
      </c>
      <c r="E3" s="8" t="inlineStr">
        <is>
          <t>Year-on-year change</t>
        </is>
      </c>
    </row>
    <row r="4">
      <c r="A4" s="5">
        <f>Source_Data!A5</f>
        <v/>
      </c>
      <c r="B4" s="6">
        <f>Source_Data!C5</f>
        <v/>
      </c>
      <c r="C4" s="6">
        <f>Source_Data!D5</f>
        <v/>
      </c>
      <c r="D4" s="6">
        <f>Source_Data!E5</f>
        <v/>
      </c>
      <c r="E4" s="9">
        <f>IFERROR(D4/B4-1,"")</f>
        <v/>
      </c>
    </row>
    <row r="5">
      <c r="A5" s="5">
        <f>Source_Data!A6</f>
        <v/>
      </c>
      <c r="B5" s="6">
        <f>Source_Data!C6</f>
        <v/>
      </c>
      <c r="C5" s="6">
        <f>Source_Data!D6</f>
        <v/>
      </c>
      <c r="D5" s="6">
        <f>Source_Data!E6</f>
        <v/>
      </c>
      <c r="E5" s="9">
        <f>IFERROR(D5/B5-1,"")</f>
        <v/>
      </c>
    </row>
    <row r="6">
      <c r="A6" s="5">
        <f>Source_Data!A7</f>
        <v/>
      </c>
      <c r="B6" s="6">
        <f>Source_Data!C7</f>
        <v/>
      </c>
      <c r="C6" s="6">
        <f>Source_Data!D7</f>
        <v/>
      </c>
      <c r="D6" s="6">
        <f>Source_Data!E7</f>
        <v/>
      </c>
      <c r="E6" s="9">
        <f>IFERROR(D6/B6-1,"")</f>
        <v/>
      </c>
    </row>
    <row r="7">
      <c r="A7" s="5">
        <f>Source_Data!A8</f>
        <v/>
      </c>
      <c r="B7" s="6">
        <f>Source_Data!C8</f>
        <v/>
      </c>
      <c r="C7" s="6">
        <f>Source_Data!D8</f>
        <v/>
      </c>
      <c r="D7" s="6">
        <f>Source_Data!E8</f>
        <v/>
      </c>
      <c r="E7" s="9">
        <f>IFERROR(D7/B7-1,"")</f>
        <v/>
      </c>
    </row>
    <row r="8">
      <c r="A8" s="5">
        <f>Source_Data!A9</f>
        <v/>
      </c>
      <c r="B8" s="7">
        <f>Source_Data!C9</f>
        <v/>
      </c>
      <c r="C8" s="7">
        <f>Source_Data!D9</f>
        <v/>
      </c>
      <c r="D8" s="7">
        <f>Source_Data!E9</f>
        <v/>
      </c>
      <c r="E8" s="10">
        <f>IFERROR(D8-B8,"")</f>
        <v/>
      </c>
    </row>
    <row r="9">
      <c r="A9" s="5">
        <f>Source_Data!A10</f>
        <v/>
      </c>
      <c r="B9" s="6">
        <f>Source_Data!C10</f>
        <v/>
      </c>
      <c r="C9" s="6">
        <f>Source_Data!D10</f>
        <v/>
      </c>
      <c r="D9" s="6">
        <f>Source_Data!E10</f>
        <v/>
      </c>
      <c r="E9" s="9">
        <f>IFERROR(D9/B9-1,"")</f>
        <v/>
      </c>
    </row>
    <row r="10">
      <c r="A10" s="5">
        <f>Source_Data!A11</f>
        <v/>
      </c>
      <c r="B10" s="6">
        <f>Source_Data!C11</f>
        <v/>
      </c>
      <c r="C10" s="6">
        <f>Source_Data!D11</f>
        <v/>
      </c>
      <c r="D10" s="6">
        <f>Source_Data!E11</f>
        <v/>
      </c>
      <c r="E10" s="9">
        <f>IFERROR(D10/B10-1,"")</f>
        <v/>
      </c>
    </row>
    <row r="11">
      <c r="A11" s="5">
        <f>Source_Data!A12</f>
        <v/>
      </c>
      <c r="B11" s="7">
        <f>Source_Data!C12</f>
        <v/>
      </c>
      <c r="C11" s="7">
        <f>Source_Data!D12</f>
        <v/>
      </c>
      <c r="D11" s="7">
        <f>Source_Data!E12</f>
        <v/>
      </c>
      <c r="E11" s="10">
        <f>IFERROR(D11-B11,"")</f>
        <v/>
      </c>
    </row>
    <row r="12">
      <c r="A12" s="5">
        <f>Source_Data!A13</f>
        <v/>
      </c>
      <c r="B12" s="7">
        <f>Source_Data!C13</f>
        <v/>
      </c>
      <c r="C12" s="7">
        <f>Source_Data!D13</f>
        <v/>
      </c>
      <c r="D12" s="7">
        <f>Source_Data!E13</f>
        <v/>
      </c>
      <c r="E12" s="10">
        <f>IFERROR(D12-B12,"")</f>
        <v/>
      </c>
    </row>
    <row r="13">
      <c r="A13" s="5">
        <f>Source_Data!A14</f>
        <v/>
      </c>
      <c r="B13" s="7">
        <f>Source_Data!C14</f>
        <v/>
      </c>
      <c r="C13" s="7">
        <f>Source_Data!D14</f>
        <v/>
      </c>
      <c r="D13" s="7">
        <f>Source_Data!E14</f>
        <v/>
      </c>
      <c r="E13" s="10">
        <f>IFERROR(D13-B13,"")</f>
        <v/>
      </c>
    </row>
    <row r="14">
      <c r="A14" s="5">
        <f>Source_Data!A15</f>
        <v/>
      </c>
      <c r="B14" s="6">
        <f>Source_Data!C15</f>
        <v/>
      </c>
      <c r="C14" s="6">
        <f>Source_Data!D15</f>
        <v/>
      </c>
      <c r="D14" s="6">
        <f>Source_Data!E15</f>
        <v/>
      </c>
      <c r="E14" s="9">
        <f>IFERROR(D14/B14-1,"")</f>
        <v/>
      </c>
    </row>
    <row r="15">
      <c r="A15" s="5">
        <f>Source_Data!A16</f>
        <v/>
      </c>
      <c r="B15" s="6">
        <f>Source_Data!C16</f>
        <v/>
      </c>
      <c r="C15" s="6">
        <f>Source_Data!D16</f>
        <v/>
      </c>
      <c r="D15" s="6">
        <f>Source_Data!E16</f>
        <v/>
      </c>
      <c r="E15" s="9">
        <f>IFERROR(D15/B15-1,"")</f>
        <v/>
      </c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11" t="inlineStr">
        <is>
          <t>Interpretation note</t>
        </is>
      </c>
      <c r="B18" s="5" t="n"/>
      <c r="C18" s="5" t="n"/>
      <c r="D18" s="5" t="n"/>
      <c r="E18" s="5" t="n"/>
    </row>
    <row r="19">
      <c r="A19" s="5" t="inlineStr">
        <is>
          <t>Compare quarterly income with the same quarter one year earlier for YoY analysis. Deposits and advances are period-end balances. For ratios, explain the change in percentage points.</t>
        </is>
      </c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</sheetData>
  <mergeCells count="3">
    <mergeCell ref="A2:E2"/>
    <mergeCell ref="A19:E20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52" customWidth="1" min="3" max="3"/>
  </cols>
  <sheetData>
    <row r="1">
      <c r="A1" s="1" t="inlineStr">
        <is>
          <t>Beginner Glossary</t>
        </is>
      </c>
      <c r="B1" s="2" t="n"/>
      <c r="C1" s="2" t="n"/>
    </row>
    <row r="2">
      <c r="A2" s="8" t="inlineStr">
        <is>
          <t>Term</t>
        </is>
      </c>
      <c r="B2" s="8" t="inlineStr">
        <is>
          <t>Simple meaning</t>
        </is>
      </c>
      <c r="C2" s="8" t="inlineStr">
        <is>
          <t>Why it matters</t>
        </is>
      </c>
    </row>
    <row r="3">
      <c r="A3" s="2" t="inlineStr">
        <is>
          <t>NII</t>
        </is>
      </c>
      <c r="B3" s="2" t="inlineStr">
        <is>
          <t>Interest earned minus interest paid on deposits and borrowings.</t>
        </is>
      </c>
      <c r="C3" s="2" t="inlineStr">
        <is>
          <t>A core source of a bank's income.</t>
        </is>
      </c>
    </row>
    <row r="4">
      <c r="A4" s="5" t="inlineStr">
        <is>
          <t>PAT</t>
        </is>
      </c>
      <c r="B4" s="5" t="inlineStr">
        <is>
          <t>Profit after tax.</t>
        </is>
      </c>
      <c r="C4" s="5" t="inlineStr">
        <is>
          <t>Shows the profit remaining after tax for the period.</t>
        </is>
      </c>
    </row>
    <row r="5">
      <c r="A5" s="5" t="inlineStr">
        <is>
          <t>NIM</t>
        </is>
      </c>
      <c r="B5" s="5" t="inlineStr">
        <is>
          <t>Net interest income relative to average interest-earning assets, expressed as a percentage.</t>
        </is>
      </c>
      <c r="C5" s="5" t="inlineStr">
        <is>
          <t>Helps assess interest-related earning performance.</t>
        </is>
      </c>
    </row>
    <row r="6">
      <c r="A6" s="5" t="inlineStr">
        <is>
          <t>Deposits</t>
        </is>
      </c>
      <c r="B6" s="5" t="inlineStr">
        <is>
          <t>Money customers place with a bank.</t>
        </is>
      </c>
      <c r="C6" s="5" t="inlineStr">
        <is>
          <t>A key source of funding for a bank.</t>
        </is>
      </c>
    </row>
    <row r="7">
      <c r="A7" s="5" t="inlineStr">
        <is>
          <t>Advances</t>
        </is>
      </c>
      <c r="B7" s="5" t="inlineStr">
        <is>
          <t>Loans and credit provided by the bank.</t>
        </is>
      </c>
      <c r="C7" s="5" t="inlineStr">
        <is>
          <t>Shows lending activity; growth must be considered alongside risk.</t>
        </is>
      </c>
    </row>
    <row r="8">
      <c r="A8" s="5" t="inlineStr">
        <is>
          <t>Gross NPA ratio</t>
        </is>
      </c>
      <c r="B8" s="5" t="inlineStr">
        <is>
          <t>Share of loans classified as non-performing before relevant provisions.</t>
        </is>
      </c>
      <c r="C8" s="5" t="inlineStr">
        <is>
          <t>An indicator of asset quality.</t>
        </is>
      </c>
    </row>
    <row r="9">
      <c r="A9" s="5" t="inlineStr">
        <is>
          <t>Net NPA ratio</t>
        </is>
      </c>
      <c r="B9" s="5" t="inlineStr">
        <is>
          <t>Ratio of net non-performing assets after relevant provisions.</t>
        </is>
      </c>
      <c r="C9" s="5" t="inlineStr">
        <is>
          <t>Another indicator of asset quality.</t>
        </is>
      </c>
    </row>
    <row r="10">
      <c r="A10" s="5" t="inlineStr">
        <is>
          <t>Capital adequacy ratio</t>
        </is>
      </c>
      <c r="B10" s="5" t="inlineStr">
        <is>
          <t>Regulatory capital relative to risk-weighted assets.</t>
        </is>
      </c>
      <c r="C10" s="5" t="inlineStr">
        <is>
          <t>Indicates the bank's capital buffer against risk.</t>
        </is>
      </c>
    </row>
    <row r="11">
      <c r="A11" s="5" t="inlineStr">
        <is>
          <t>YoY</t>
        </is>
      </c>
      <c r="B11" s="5" t="inlineStr">
        <is>
          <t>Year-on-year: compared with the same quarter one year earlier.</t>
        </is>
      </c>
      <c r="C11" s="5" t="inlineStr">
        <is>
          <t>Helps make a like-for-like comparison.</t>
        </is>
      </c>
    </row>
    <row r="12">
      <c r="A12" s="5" t="inlineStr">
        <is>
          <t>Percentage point</t>
        </is>
      </c>
      <c r="B12" s="5" t="inlineStr">
        <is>
          <t>Arithmetic difference between two percentages.</t>
        </is>
      </c>
      <c r="C12" s="5" t="inlineStr">
        <is>
          <t>4.34% to 4.36% is +0.02 percentage points.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2026-10-12T15:43:52Z</dcterms:created>
  <dcterms:modified xmlns:dcterms="http://purl.org/dc/terms/" xmlns:xsi="http://www.w3.org/2001/XMLSchema-instance" xsi:type="dcterms:W3CDTF">2026-10-12T15:43:52Z</dcterms:modified>
</cp:coreProperties>
</file>